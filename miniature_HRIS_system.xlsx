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eab614f7e5e331/Desktop/New folder/project work/"/>
    </mc:Choice>
  </mc:AlternateContent>
  <xr:revisionPtr revIDLastSave="0" documentId="13_ncr:1_{7A2CEDB3-6C1B-4A29-A008-14147A416B0D}" xr6:coauthVersionLast="47" xr6:coauthVersionMax="47" xr10:uidLastSave="{00000000-0000-0000-0000-000000000000}"/>
  <bookViews>
    <workbookView xWindow="-108" yWindow="-108" windowWidth="23256" windowHeight="12456" activeTab="1" xr2:uid="{611B9B24-9D7B-4B99-94C4-411F126DE990}"/>
  </bookViews>
  <sheets>
    <sheet name="EmployeeMaster" sheetId="1" r:id="rId1"/>
    <sheet name="Leave_track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L24" i="2" s="1"/>
  <c r="K25" i="2"/>
  <c r="K26" i="2"/>
  <c r="K2" i="2"/>
  <c r="J2" i="2"/>
  <c r="J3" i="2"/>
  <c r="J4" i="2"/>
  <c r="L4" i="2" s="1"/>
  <c r="J5" i="2"/>
  <c r="L5" i="2" s="1"/>
  <c r="J6" i="2"/>
  <c r="L6" i="2" s="1"/>
  <c r="J7" i="2"/>
  <c r="J8" i="2"/>
  <c r="L8" i="2" s="1"/>
  <c r="J9" i="2"/>
  <c r="L9" i="2" s="1"/>
  <c r="J10" i="2"/>
  <c r="L10" i="2" s="1"/>
  <c r="J11" i="2"/>
  <c r="J12" i="2"/>
  <c r="J13" i="2"/>
  <c r="J14" i="2"/>
  <c r="J15" i="2"/>
  <c r="J16" i="2"/>
  <c r="L16" i="2" s="1"/>
  <c r="J17" i="2"/>
  <c r="L17" i="2" s="1"/>
  <c r="J18" i="2"/>
  <c r="L18" i="2" s="1"/>
  <c r="J19" i="2"/>
  <c r="J20" i="2"/>
  <c r="L20" i="2" s="1"/>
  <c r="J21" i="2"/>
  <c r="L21" i="2" s="1"/>
  <c r="J22" i="2"/>
  <c r="L22" i="2" s="1"/>
  <c r="J23" i="2"/>
  <c r="J24" i="2"/>
  <c r="J25" i="2"/>
  <c r="J26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B29" i="1"/>
  <c r="B30" i="1"/>
  <c r="B31" i="1"/>
  <c r="B32" i="1" s="1"/>
  <c r="B2" i="2"/>
  <c r="C2" i="2"/>
  <c r="B3" i="2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L19" i="2" l="1"/>
  <c r="L7" i="2"/>
  <c r="L11" i="2"/>
  <c r="L14" i="2"/>
  <c r="L23" i="2"/>
  <c r="L12" i="2"/>
  <c r="L2" i="2"/>
  <c r="L25" i="2"/>
  <c r="L13" i="2"/>
  <c r="L15" i="2"/>
  <c r="L3" i="2"/>
  <c r="L26" i="2"/>
</calcChain>
</file>

<file path=xl/sharedStrings.xml><?xml version="1.0" encoding="utf-8"?>
<sst xmlns="http://schemas.openxmlformats.org/spreadsheetml/2006/main" count="228" uniqueCount="99">
  <si>
    <t>Emp ID</t>
  </si>
  <si>
    <t>Name</t>
  </si>
  <si>
    <t>Department</t>
  </si>
  <si>
    <t>Designation</t>
  </si>
  <si>
    <t>Date of Joining</t>
  </si>
  <si>
    <t>Reporting Manager</t>
  </si>
  <si>
    <t>Salary Band</t>
  </si>
  <si>
    <t>Status</t>
  </si>
  <si>
    <t>Performance Rating</t>
  </si>
  <si>
    <t>EMP001</t>
  </si>
  <si>
    <t>Aarav Sharma</t>
  </si>
  <si>
    <t>Sales</t>
  </si>
  <si>
    <t>Sales Lead</t>
  </si>
  <si>
    <t>EMP003</t>
  </si>
  <si>
    <t>Band B</t>
  </si>
  <si>
    <t>Active</t>
  </si>
  <si>
    <t>EMP002</t>
  </si>
  <si>
    <t>Ananya Verma</t>
  </si>
  <si>
    <t>Operations</t>
  </si>
  <si>
    <t>Ops Manager</t>
  </si>
  <si>
    <t>Band C</t>
  </si>
  <si>
    <t>Rohan Mehta</t>
  </si>
  <si>
    <t>Marketing</t>
  </si>
  <si>
    <t>Brand Manager</t>
  </si>
  <si>
    <t>EMP004</t>
  </si>
  <si>
    <t>Priya Nair</t>
  </si>
  <si>
    <t>Process Lead</t>
  </si>
  <si>
    <t>EMP007</t>
  </si>
  <si>
    <t>EMP005</t>
  </si>
  <si>
    <t>Vikram Singh</t>
  </si>
  <si>
    <t>EMP006</t>
  </si>
  <si>
    <t>Neha Gupta</t>
  </si>
  <si>
    <t>Account Manager</t>
  </si>
  <si>
    <t>Siddharth Rao</t>
  </si>
  <si>
    <t>Engineering</t>
  </si>
  <si>
    <t>Software Engineer</t>
  </si>
  <si>
    <t>Band A</t>
  </si>
  <si>
    <t>EMP008</t>
  </si>
  <si>
    <t>Kavya Joshi</t>
  </si>
  <si>
    <t>QA Analyst</t>
  </si>
  <si>
    <t>EMP009</t>
  </si>
  <si>
    <t>Aditya Patel</t>
  </si>
  <si>
    <t>EMP010</t>
  </si>
  <si>
    <t>Pooja Kumar</t>
  </si>
  <si>
    <t>HR</t>
  </si>
  <si>
    <t>HR Analyst</t>
  </si>
  <si>
    <t>EMP011</t>
  </si>
  <si>
    <t>Rahul Deshmukh</t>
  </si>
  <si>
    <t>EMP012</t>
  </si>
  <si>
    <t>Sneha Reddy</t>
  </si>
  <si>
    <t>Senior Developer</t>
  </si>
  <si>
    <t>EMP013</t>
  </si>
  <si>
    <t>Amitav Sen</t>
  </si>
  <si>
    <t>SEO Specialist</t>
  </si>
  <si>
    <t>EMP014</t>
  </si>
  <si>
    <t>Divya Iyer</t>
  </si>
  <si>
    <t>Ops Associate</t>
  </si>
  <si>
    <t>EMP015</t>
  </si>
  <si>
    <t>Karan Malhotra</t>
  </si>
  <si>
    <t>EMP016</t>
  </si>
  <si>
    <t>Meera Pillai</t>
  </si>
  <si>
    <t>Sales Executive</t>
  </si>
  <si>
    <t>EMP017</t>
  </si>
  <si>
    <t>Sanjay Bhat</t>
  </si>
  <si>
    <t>EMP018</t>
  </si>
  <si>
    <t>Ishita Choudhury</t>
  </si>
  <si>
    <t>EMP019</t>
  </si>
  <si>
    <t>Nikhil Saxena</t>
  </si>
  <si>
    <t>EMP020</t>
  </si>
  <si>
    <t>Tanvi Agarwal</t>
  </si>
  <si>
    <t>EMP021</t>
  </si>
  <si>
    <t>Varun Mishra</t>
  </si>
  <si>
    <t>Terminated</t>
  </si>
  <si>
    <t>EMP022</t>
  </si>
  <si>
    <t>Ritu Das</t>
  </si>
  <si>
    <t>EMP023</t>
  </si>
  <si>
    <t>Manish Kapoor</t>
  </si>
  <si>
    <t>EMP024</t>
  </si>
  <si>
    <t>Swati Kulkarni</t>
  </si>
  <si>
    <t>HR Generalist</t>
  </si>
  <si>
    <t>EMP025</t>
  </si>
  <si>
    <t>Tarun Hegde</t>
  </si>
  <si>
    <t>HR Associate</t>
  </si>
  <si>
    <t>Monthly Casual Allowed</t>
  </si>
  <si>
    <t>Monthly Sick Allowed</t>
  </si>
  <si>
    <t>Casual Leaves Taken</t>
  </si>
  <si>
    <t>Sick Leaves Taken</t>
  </si>
  <si>
    <t>Unexcused Absences</t>
  </si>
  <si>
    <t>Total Leaves Taken</t>
  </si>
  <si>
    <t>Loss of Pay (LOP) Days</t>
  </si>
  <si>
    <t>Metric</t>
  </si>
  <si>
    <t>value</t>
  </si>
  <si>
    <t>tota headcount</t>
  </si>
  <si>
    <t>active employees</t>
  </si>
  <si>
    <t>terminated employees</t>
  </si>
  <si>
    <t>Turnover rate</t>
  </si>
  <si>
    <t>CASUAL LOP</t>
  </si>
  <si>
    <t>SICK LOP</t>
  </si>
  <si>
    <t>NET REMAINING LEAVE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</si>
</sst>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0EA612-62FB-4313-9435-26740B233E7D}" name="employeemaster" displayName="employeemaster" ref="A1:I26" totalsRowShown="0">
  <autoFilter ref="A1:I26" xr:uid="{610EA612-62FB-4313-9435-26740B233E7D}"/>
  <tableColumns count="9">
    <tableColumn id="1" xr3:uid="{C4290609-3AAD-4326-B7C0-91EE86CEDA2F}" name="Emp ID"/>
    <tableColumn id="2" xr3:uid="{FCDCCE7C-4FEF-4E51-B41F-39FB291B1FF9}" name="Name"/>
    <tableColumn id="3" xr3:uid="{7D0BCF55-17FF-4E1C-B6B0-21EBE1B90CFD}" name="Department"/>
    <tableColumn id="4" xr3:uid="{6EE1D7ED-3CC9-4CA2-B392-49E1B5D4885D}" name="Designation"/>
    <tableColumn id="5" xr3:uid="{A8F9E03C-9481-4DEF-868B-30628781F96B}" name="Date of Joining" dataDxfId="0"/>
    <tableColumn id="6" xr3:uid="{754679BA-12B4-43EF-92F2-9FB938B6DD7A}" name="Reporting Manager"/>
    <tableColumn id="7" xr3:uid="{DBCCF155-DA63-46A1-93AD-02961958AA9E}" name="Salary Band"/>
    <tableColumn id="8" xr3:uid="{13A4FC26-82F7-4CA4-A54D-10FCFC16BEC8}" name="Status"/>
    <tableColumn id="9" xr3:uid="{569F9BB7-1521-4955-8A0F-3C571FBD5063}" name="Performance 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F5562A-6B28-4F47-8146-B7882B82DD9A}" name="Table4" displayName="Table4" ref="A28:B32" totalsRowShown="0">
  <autoFilter ref="A28:B32" xr:uid="{10F5562A-6B28-4F47-8146-B7882B82DD9A}"/>
  <tableColumns count="2">
    <tableColumn id="1" xr3:uid="{5CB72D1E-50D3-4CDD-BE21-C5A7FF8198E6}" name="Metric"/>
    <tableColumn id="2" xr3:uid="{7A2F1BD6-3EFC-4E27-8C0B-BFC03AD8CF8F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92843F-4493-4A4B-86E3-AD90A02A3F72}" name="Table2" displayName="Table2" ref="A1:M26" totalsRowShown="0">
  <autoFilter ref="A1:M26" xr:uid="{3192843F-4493-4A4B-86E3-AD90A02A3F72}"/>
  <tableColumns count="13">
    <tableColumn id="1" xr3:uid="{86A13335-D65A-47C4-BBEF-65EFE494A4B7}" name="Emp ID"/>
    <tableColumn id="2" xr3:uid="{08C39D67-CF56-4E44-98F7-F5B7676C09BA}" name="Name">
      <calculatedColumnFormula>_xlfn.XLOOKUP(A2, employeemaster[Emp ID], employeemaster[Name])</calculatedColumnFormula>
    </tableColumn>
    <tableColumn id="3" xr3:uid="{C0D96C4E-9E55-4139-BE47-11AE564FE5C7}" name="Department">
      <calculatedColumnFormula>_xlfn.XLOOKUP(A2, employeemaster[Emp ID], employeemaster[Department])</calculatedColumnFormula>
    </tableColumn>
    <tableColumn id="4" xr3:uid="{1479ABF1-F765-4C93-B793-1D4331278E41}" name="Monthly Casual Allowed"/>
    <tableColumn id="5" xr3:uid="{EDD3137E-DD71-4CF0-98E2-339D1C37D745}" name="Monthly Sick Allowed"/>
    <tableColumn id="6" xr3:uid="{7BA6A7DE-F7D0-46AB-8A73-A9422F5380D5}" name="Casual Leaves Taken"/>
    <tableColumn id="7" xr3:uid="{6C71D194-A753-432F-AB05-704D6CA413E2}" name="Sick Leaves Taken"/>
    <tableColumn id="8" xr3:uid="{7BF67025-5CA2-43BF-A689-0ECE35783E9A}" name="Unexcused Absences"/>
    <tableColumn id="9" xr3:uid="{E21829F7-D8F2-4BE1-AD70-D3152754D794}" name="Total Leaves Taken" dataDxfId="5">
      <calculatedColumnFormula>SUM(Table2[[#This Row],[Casual Leaves Taken]:[Unexcused Absences]])</calculatedColumnFormula>
    </tableColumn>
    <tableColumn id="13" xr3:uid="{27179FBB-2430-40CA-A2CF-21946CFD1312}" name="CASUAL LOP" dataDxfId="4">
      <calculatedColumnFormula>MAX(0,Table2[[#This Row],[Casual Leaves Taken]]-Table2[[#This Row],[Monthly Casual Allowed]])</calculatedColumnFormula>
    </tableColumn>
    <tableColumn id="14" xr3:uid="{16D808E8-F69A-4E3B-9FA4-8CE2774FAD4C}" name="SICK LOP" dataDxfId="3">
      <calculatedColumnFormula>MAX(0,Table2[[#This Row],[Sick Leaves Taken]]-Table2[[#This Row],[Monthly Sick Allowed]])</calculatedColumnFormula>
    </tableColumn>
    <tableColumn id="10" xr3:uid="{57136EF9-3F13-4F55-9FA0-3C7017501860}" name="Loss of Pay (LOP) Days" dataDxfId="2">
      <calculatedColumnFormula>SUM(Table2[[#This Row],[Unexcused Absences]]+Table2[[#This Row],[CASUAL LOP]]+Table2[[#This Row],[SICK LOP]])</calculatedColumnFormula>
    </tableColumn>
    <tableColumn id="11" xr3:uid="{17A8A0DA-8CED-4197-B473-9E020C275939}" name="NET REMAINING LEAVE BALANCE" dataDxfId="1">
      <calculatedColumnFormula>SUM(Table2[[#This Row],[Monthly Casual Allowed]:[Monthly Sick Allowed]])-SUM(Table2[[#This Row],[Casual Leaves Taken]:[Sick Leaves Taken]])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0EE42-C60E-4BC9-A619-D9EBFD34E7EB}">
  <dimension ref="A1:I32"/>
  <sheetViews>
    <sheetView workbookViewId="0">
      <selection activeCell="H2" sqref="H2"/>
    </sheetView>
  </sheetViews>
  <sheetFormatPr defaultRowHeight="14.4" x14ac:dyDescent="0.3"/>
  <cols>
    <col min="1" max="1" width="15.5546875" customWidth="1"/>
    <col min="2" max="2" width="14.5546875" bestFit="1" customWidth="1"/>
    <col min="3" max="3" width="10.33203125" bestFit="1" customWidth="1"/>
    <col min="4" max="4" width="15.5546875" bestFit="1" customWidth="1"/>
    <col min="5" max="5" width="22.6640625" customWidth="1"/>
    <col min="6" max="6" width="25.5546875" customWidth="1"/>
    <col min="7" max="7" width="17" customWidth="1"/>
    <col min="8" max="8" width="22.88671875" customWidth="1"/>
    <col min="9" max="9" width="25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44562</v>
      </c>
      <c r="F2" t="s">
        <v>13</v>
      </c>
      <c r="G2" t="s">
        <v>14</v>
      </c>
      <c r="H2" t="s">
        <v>15</v>
      </c>
      <c r="I2">
        <v>3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s="1">
        <v>44613</v>
      </c>
      <c r="F3" t="s">
        <v>9</v>
      </c>
      <c r="G3" t="s">
        <v>20</v>
      </c>
      <c r="H3" t="s">
        <v>15</v>
      </c>
      <c r="I3">
        <v>2</v>
      </c>
    </row>
    <row r="4" spans="1:9" x14ac:dyDescent="0.3">
      <c r="A4" t="s">
        <v>13</v>
      </c>
      <c r="B4" t="s">
        <v>21</v>
      </c>
      <c r="C4" t="s">
        <v>22</v>
      </c>
      <c r="D4" t="s">
        <v>23</v>
      </c>
      <c r="E4" s="1">
        <v>44665</v>
      </c>
      <c r="F4" t="s">
        <v>13</v>
      </c>
      <c r="G4" t="s">
        <v>20</v>
      </c>
      <c r="H4" t="s">
        <v>15</v>
      </c>
      <c r="I4">
        <v>5</v>
      </c>
    </row>
    <row r="5" spans="1:9" x14ac:dyDescent="0.3">
      <c r="A5" t="s">
        <v>24</v>
      </c>
      <c r="B5" t="s">
        <v>25</v>
      </c>
      <c r="C5" t="s">
        <v>18</v>
      </c>
      <c r="D5" t="s">
        <v>26</v>
      </c>
      <c r="E5" s="1">
        <v>44717</v>
      </c>
      <c r="F5" t="s">
        <v>27</v>
      </c>
      <c r="G5" t="s">
        <v>20</v>
      </c>
      <c r="H5" t="s">
        <v>15</v>
      </c>
      <c r="I5">
        <v>2</v>
      </c>
    </row>
    <row r="6" spans="1:9" x14ac:dyDescent="0.3">
      <c r="A6" t="s">
        <v>28</v>
      </c>
      <c r="B6" t="s">
        <v>29</v>
      </c>
      <c r="C6" t="s">
        <v>18</v>
      </c>
      <c r="D6" t="s">
        <v>19</v>
      </c>
      <c r="E6" s="1">
        <v>44769</v>
      </c>
      <c r="F6" t="s">
        <v>27</v>
      </c>
      <c r="G6" t="s">
        <v>20</v>
      </c>
      <c r="H6" t="s">
        <v>15</v>
      </c>
      <c r="I6">
        <v>5</v>
      </c>
    </row>
    <row r="7" spans="1:9" x14ac:dyDescent="0.3">
      <c r="A7" t="s">
        <v>30</v>
      </c>
      <c r="B7" t="s">
        <v>31</v>
      </c>
      <c r="C7" t="s">
        <v>11</v>
      </c>
      <c r="D7" t="s">
        <v>32</v>
      </c>
      <c r="E7" s="1">
        <v>44821</v>
      </c>
      <c r="F7" t="s">
        <v>28</v>
      </c>
      <c r="G7" t="s">
        <v>14</v>
      </c>
      <c r="H7" t="s">
        <v>15</v>
      </c>
      <c r="I7">
        <v>3</v>
      </c>
    </row>
    <row r="8" spans="1:9" x14ac:dyDescent="0.3">
      <c r="A8" t="s">
        <v>27</v>
      </c>
      <c r="B8" t="s">
        <v>33</v>
      </c>
      <c r="C8" t="s">
        <v>34</v>
      </c>
      <c r="D8" t="s">
        <v>35</v>
      </c>
      <c r="E8" s="1">
        <v>44873</v>
      </c>
      <c r="F8" t="s">
        <v>28</v>
      </c>
      <c r="G8" t="s">
        <v>36</v>
      </c>
      <c r="H8" t="s">
        <v>15</v>
      </c>
      <c r="I8">
        <v>3</v>
      </c>
    </row>
    <row r="9" spans="1:9" x14ac:dyDescent="0.3">
      <c r="A9" t="s">
        <v>37</v>
      </c>
      <c r="B9" t="s">
        <v>38</v>
      </c>
      <c r="C9" t="s">
        <v>34</v>
      </c>
      <c r="D9" t="s">
        <v>39</v>
      </c>
      <c r="E9" s="1">
        <v>44925</v>
      </c>
      <c r="F9" t="s">
        <v>28</v>
      </c>
      <c r="G9" t="s">
        <v>36</v>
      </c>
      <c r="H9" t="s">
        <v>15</v>
      </c>
      <c r="I9">
        <v>4</v>
      </c>
    </row>
    <row r="10" spans="1:9" x14ac:dyDescent="0.3">
      <c r="A10" t="s">
        <v>40</v>
      </c>
      <c r="B10" t="s">
        <v>41</v>
      </c>
      <c r="C10" t="s">
        <v>18</v>
      </c>
      <c r="D10" t="s">
        <v>26</v>
      </c>
      <c r="E10" s="1">
        <v>44977</v>
      </c>
      <c r="F10" t="s">
        <v>9</v>
      </c>
      <c r="G10" t="s">
        <v>20</v>
      </c>
      <c r="H10" t="s">
        <v>15</v>
      </c>
      <c r="I10">
        <v>3</v>
      </c>
    </row>
    <row r="11" spans="1:9" x14ac:dyDescent="0.3">
      <c r="A11" t="s">
        <v>42</v>
      </c>
      <c r="B11" t="s">
        <v>43</v>
      </c>
      <c r="C11" t="s">
        <v>44</v>
      </c>
      <c r="D11" t="s">
        <v>45</v>
      </c>
      <c r="E11" s="1">
        <v>45029</v>
      </c>
      <c r="F11" t="s">
        <v>27</v>
      </c>
      <c r="G11" t="s">
        <v>14</v>
      </c>
      <c r="H11" t="s">
        <v>15</v>
      </c>
      <c r="I11">
        <v>4</v>
      </c>
    </row>
    <row r="12" spans="1:9" x14ac:dyDescent="0.3">
      <c r="A12" t="s">
        <v>46</v>
      </c>
      <c r="B12" t="s">
        <v>47</v>
      </c>
      <c r="C12" t="s">
        <v>18</v>
      </c>
      <c r="D12" t="s">
        <v>26</v>
      </c>
      <c r="E12" s="1">
        <v>45081</v>
      </c>
      <c r="F12" t="s">
        <v>27</v>
      </c>
      <c r="G12" t="s">
        <v>20</v>
      </c>
      <c r="H12" t="s">
        <v>15</v>
      </c>
      <c r="I12">
        <v>4</v>
      </c>
    </row>
    <row r="13" spans="1:9" x14ac:dyDescent="0.3">
      <c r="A13" t="s">
        <v>48</v>
      </c>
      <c r="B13" t="s">
        <v>49</v>
      </c>
      <c r="C13" t="s">
        <v>34</v>
      </c>
      <c r="D13" t="s">
        <v>50</v>
      </c>
      <c r="E13" s="1">
        <v>45133</v>
      </c>
      <c r="F13" t="s">
        <v>13</v>
      </c>
      <c r="G13" t="s">
        <v>36</v>
      </c>
      <c r="H13" t="s">
        <v>15</v>
      </c>
      <c r="I13">
        <v>4</v>
      </c>
    </row>
    <row r="14" spans="1:9" x14ac:dyDescent="0.3">
      <c r="A14" t="s">
        <v>51</v>
      </c>
      <c r="B14" t="s">
        <v>52</v>
      </c>
      <c r="C14" t="s">
        <v>22</v>
      </c>
      <c r="D14" t="s">
        <v>53</v>
      </c>
      <c r="E14" s="1">
        <v>45185</v>
      </c>
      <c r="F14" t="s">
        <v>13</v>
      </c>
      <c r="G14" t="s">
        <v>20</v>
      </c>
      <c r="H14" t="s">
        <v>15</v>
      </c>
      <c r="I14">
        <v>3</v>
      </c>
    </row>
    <row r="15" spans="1:9" x14ac:dyDescent="0.3">
      <c r="A15" t="s">
        <v>54</v>
      </c>
      <c r="B15" t="s">
        <v>55</v>
      </c>
      <c r="C15" t="s">
        <v>18</v>
      </c>
      <c r="D15" t="s">
        <v>56</v>
      </c>
      <c r="E15" s="1">
        <v>45237</v>
      </c>
      <c r="F15" t="s">
        <v>9</v>
      </c>
      <c r="G15" t="s">
        <v>20</v>
      </c>
      <c r="H15" t="s">
        <v>15</v>
      </c>
      <c r="I15">
        <v>2</v>
      </c>
    </row>
    <row r="16" spans="1:9" x14ac:dyDescent="0.3">
      <c r="A16" t="s">
        <v>57</v>
      </c>
      <c r="B16" t="s">
        <v>58</v>
      </c>
      <c r="C16" t="s">
        <v>34</v>
      </c>
      <c r="D16" t="s">
        <v>39</v>
      </c>
      <c r="E16" s="1">
        <v>45289</v>
      </c>
      <c r="F16" t="s">
        <v>28</v>
      </c>
      <c r="G16" t="s">
        <v>36</v>
      </c>
      <c r="H16" t="s">
        <v>15</v>
      </c>
      <c r="I16">
        <v>4</v>
      </c>
    </row>
    <row r="17" spans="1:9" x14ac:dyDescent="0.3">
      <c r="A17" t="s">
        <v>59</v>
      </c>
      <c r="B17" t="s">
        <v>60</v>
      </c>
      <c r="C17" t="s">
        <v>11</v>
      </c>
      <c r="D17" t="s">
        <v>61</v>
      </c>
      <c r="E17" s="1">
        <v>45341</v>
      </c>
      <c r="F17" t="s">
        <v>13</v>
      </c>
      <c r="G17" t="s">
        <v>14</v>
      </c>
      <c r="H17" t="s">
        <v>15</v>
      </c>
      <c r="I17">
        <v>3</v>
      </c>
    </row>
    <row r="18" spans="1:9" x14ac:dyDescent="0.3">
      <c r="A18" t="s">
        <v>62</v>
      </c>
      <c r="B18" t="s">
        <v>63</v>
      </c>
      <c r="C18" t="s">
        <v>18</v>
      </c>
      <c r="D18" t="s">
        <v>26</v>
      </c>
      <c r="E18" s="1">
        <v>45393</v>
      </c>
      <c r="F18" t="s">
        <v>27</v>
      </c>
      <c r="G18" t="s">
        <v>20</v>
      </c>
      <c r="H18" t="s">
        <v>15</v>
      </c>
      <c r="I18">
        <v>4</v>
      </c>
    </row>
    <row r="19" spans="1:9" x14ac:dyDescent="0.3">
      <c r="A19" t="s">
        <v>64</v>
      </c>
      <c r="B19" t="s">
        <v>65</v>
      </c>
      <c r="C19" t="s">
        <v>18</v>
      </c>
      <c r="D19" t="s">
        <v>19</v>
      </c>
      <c r="E19" s="1">
        <v>45445</v>
      </c>
      <c r="F19" t="s">
        <v>13</v>
      </c>
      <c r="G19" t="s">
        <v>20</v>
      </c>
      <c r="H19" t="s">
        <v>15</v>
      </c>
      <c r="I19">
        <v>3</v>
      </c>
    </row>
    <row r="20" spans="1:9" x14ac:dyDescent="0.3">
      <c r="A20" t="s">
        <v>66</v>
      </c>
      <c r="B20" t="s">
        <v>67</v>
      </c>
      <c r="C20" t="s">
        <v>44</v>
      </c>
      <c r="D20" t="s">
        <v>45</v>
      </c>
      <c r="E20" s="1">
        <v>45497</v>
      </c>
      <c r="F20" t="s">
        <v>13</v>
      </c>
      <c r="G20" t="s">
        <v>14</v>
      </c>
      <c r="H20" t="s">
        <v>15</v>
      </c>
      <c r="I20">
        <v>3</v>
      </c>
    </row>
    <row r="21" spans="1:9" x14ac:dyDescent="0.3">
      <c r="A21" t="s">
        <v>68</v>
      </c>
      <c r="B21" t="s">
        <v>69</v>
      </c>
      <c r="C21" t="s">
        <v>22</v>
      </c>
      <c r="D21" t="s">
        <v>53</v>
      </c>
      <c r="E21" s="1">
        <v>45549</v>
      </c>
      <c r="F21" t="s">
        <v>13</v>
      </c>
      <c r="G21" t="s">
        <v>20</v>
      </c>
      <c r="H21" t="s">
        <v>15</v>
      </c>
      <c r="I21">
        <v>3</v>
      </c>
    </row>
    <row r="22" spans="1:9" x14ac:dyDescent="0.3">
      <c r="A22" t="s">
        <v>70</v>
      </c>
      <c r="B22" t="s">
        <v>71</v>
      </c>
      <c r="C22" t="s">
        <v>34</v>
      </c>
      <c r="D22" t="s">
        <v>35</v>
      </c>
      <c r="E22" s="1">
        <v>45601</v>
      </c>
      <c r="F22" t="s">
        <v>13</v>
      </c>
      <c r="G22" t="s">
        <v>36</v>
      </c>
      <c r="H22" t="s">
        <v>72</v>
      </c>
      <c r="I22">
        <v>3</v>
      </c>
    </row>
    <row r="23" spans="1:9" x14ac:dyDescent="0.3">
      <c r="A23" t="s">
        <v>73</v>
      </c>
      <c r="B23" t="s">
        <v>74</v>
      </c>
      <c r="C23" t="s">
        <v>34</v>
      </c>
      <c r="D23" t="s">
        <v>50</v>
      </c>
      <c r="E23" s="1">
        <v>45653</v>
      </c>
      <c r="F23" t="s">
        <v>13</v>
      </c>
      <c r="G23" t="s">
        <v>36</v>
      </c>
      <c r="H23" t="s">
        <v>72</v>
      </c>
      <c r="I23">
        <v>2</v>
      </c>
    </row>
    <row r="24" spans="1:9" x14ac:dyDescent="0.3">
      <c r="A24" t="s">
        <v>75</v>
      </c>
      <c r="B24" t="s">
        <v>76</v>
      </c>
      <c r="C24" t="s">
        <v>22</v>
      </c>
      <c r="D24" t="s">
        <v>23</v>
      </c>
      <c r="E24" s="1">
        <v>45705</v>
      </c>
      <c r="F24" t="s">
        <v>9</v>
      </c>
      <c r="G24" t="s">
        <v>20</v>
      </c>
      <c r="H24" t="s">
        <v>72</v>
      </c>
      <c r="I24">
        <v>4</v>
      </c>
    </row>
    <row r="25" spans="1:9" x14ac:dyDescent="0.3">
      <c r="A25" t="s">
        <v>77</v>
      </c>
      <c r="B25" t="s">
        <v>78</v>
      </c>
      <c r="C25" t="s">
        <v>44</v>
      </c>
      <c r="D25" t="s">
        <v>79</v>
      </c>
      <c r="E25" s="1">
        <v>45757</v>
      </c>
      <c r="F25" t="s">
        <v>28</v>
      </c>
      <c r="G25" t="s">
        <v>14</v>
      </c>
      <c r="H25" t="s">
        <v>72</v>
      </c>
      <c r="I25">
        <v>3</v>
      </c>
    </row>
    <row r="26" spans="1:9" x14ac:dyDescent="0.3">
      <c r="A26" t="s">
        <v>80</v>
      </c>
      <c r="B26" t="s">
        <v>81</v>
      </c>
      <c r="C26" t="s">
        <v>44</v>
      </c>
      <c r="D26" t="s">
        <v>82</v>
      </c>
      <c r="E26" s="1">
        <v>45809</v>
      </c>
      <c r="F26" t="s">
        <v>28</v>
      </c>
      <c r="G26" t="s">
        <v>14</v>
      </c>
      <c r="H26" t="s">
        <v>72</v>
      </c>
      <c r="I26">
        <v>4</v>
      </c>
    </row>
    <row r="28" spans="1:9" x14ac:dyDescent="0.3">
      <c r="A28" t="s">
        <v>90</v>
      </c>
      <c r="B28" t="s">
        <v>91</v>
      </c>
    </row>
    <row r="29" spans="1:9" x14ac:dyDescent="0.3">
      <c r="A29" t="s">
        <v>92</v>
      </c>
      <c r="B29">
        <f>COUNTA(employeemaster[Emp ID])</f>
        <v>25</v>
      </c>
    </row>
    <row r="30" spans="1:9" x14ac:dyDescent="0.3">
      <c r="A30" t="s">
        <v>93</v>
      </c>
      <c r="B30">
        <f>COUNTIF(employeemaster[Status],"Active")</f>
        <v>20</v>
      </c>
    </row>
    <row r="31" spans="1:9" x14ac:dyDescent="0.3">
      <c r="A31" t="s">
        <v>94</v>
      </c>
      <c r="B31">
        <f>COUNTIF(employeemaster[Status],"Terminated")</f>
        <v>5</v>
      </c>
    </row>
    <row r="32" spans="1:9" x14ac:dyDescent="0.3">
      <c r="A32" t="s">
        <v>95</v>
      </c>
      <c r="B32">
        <f>B31/B29</f>
        <v>0.2</v>
      </c>
    </row>
  </sheetData>
  <conditionalFormatting sqref="A28:B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{5661CEAD-3FFD-4BEE-ABB6-D2C3AD8F6E0A}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1CEAD-3FFD-4BEE-ABB6-D2C3AD8F6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A28:B32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9ED17-8A56-45AA-9B36-AF59E5630AA4}">
  <dimension ref="A1:M26"/>
  <sheetViews>
    <sheetView tabSelected="1" topLeftCell="B1" workbookViewId="0">
      <selection activeCell="H15" sqref="H15"/>
    </sheetView>
  </sheetViews>
  <sheetFormatPr defaultRowHeight="14.4" x14ac:dyDescent="0.3"/>
  <cols>
    <col min="2" max="2" width="13.6640625" customWidth="1"/>
    <col min="3" max="3" width="12.88671875" customWidth="1"/>
    <col min="4" max="4" width="22.44140625" customWidth="1"/>
    <col min="5" max="5" width="16.109375" customWidth="1"/>
    <col min="6" max="6" width="19.77734375" customWidth="1"/>
    <col min="7" max="7" width="17.77734375" customWidth="1"/>
    <col min="8" max="8" width="20.33203125" customWidth="1"/>
    <col min="9" max="9" width="18.21875" customWidth="1"/>
    <col min="10" max="10" width="12" customWidth="1"/>
    <col min="11" max="11" width="10.88671875" customWidth="1"/>
    <col min="12" max="12" width="21.109375" customWidth="1"/>
    <col min="13" max="13" width="23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96</v>
      </c>
      <c r="K1" t="s">
        <v>97</v>
      </c>
      <c r="L1" t="s">
        <v>89</v>
      </c>
      <c r="M1" t="s">
        <v>98</v>
      </c>
    </row>
    <row r="2" spans="1:13" x14ac:dyDescent="0.3">
      <c r="A2" t="s">
        <v>9</v>
      </c>
      <c r="B2" t="str">
        <f>_xlfn.XLOOKUP(A2, employeemaster[Emp ID], employeemaster[Name])</f>
        <v>Aarav Sharma</v>
      </c>
      <c r="C2" t="str">
        <f>_xlfn.XLOOKUP(A2, employeemaster[Emp ID], employeemaster[Department])</f>
        <v>Sales</v>
      </c>
      <c r="D2">
        <v>2</v>
      </c>
      <c r="E2">
        <v>1</v>
      </c>
      <c r="F2">
        <v>3</v>
      </c>
      <c r="G2">
        <v>1</v>
      </c>
      <c r="H2">
        <v>1</v>
      </c>
      <c r="I2">
        <f>SUM(Table2[[#This Row],[Casual Leaves Taken]:[Unexcused Absences]])</f>
        <v>5</v>
      </c>
      <c r="J2">
        <f>MAX(0,Table2[[#This Row],[Casual Leaves Taken]]-Table2[[#This Row],[Monthly Casual Allowed]])</f>
        <v>1</v>
      </c>
      <c r="K2">
        <f>MAX(0,Table2[[#This Row],[Sick Leaves Taken]]-Table2[[#This Row],[Monthly Sick Allowed]])</f>
        <v>0</v>
      </c>
      <c r="L2">
        <f>SUM(Table2[[#This Row],[Unexcused Absences]]+Table2[[#This Row],[CASUAL LOP]]+Table2[[#This Row],[SICK LOP]])</f>
        <v>2</v>
      </c>
      <c r="M2">
        <f>SUM(Table2[[#This Row],[Monthly Casual Allowed]:[Monthly Sick Allowed]])-SUM(Table2[[#This Row],[Casual Leaves Taken]:[Sick Leaves Taken]])</f>
        <v>-1</v>
      </c>
    </row>
    <row r="3" spans="1:13" x14ac:dyDescent="0.3">
      <c r="A3" t="s">
        <v>16</v>
      </c>
      <c r="B3" t="str">
        <f>_xlfn.XLOOKUP(A3, employeemaster[Emp ID], employeemaster[Name])</f>
        <v>Ananya Verma</v>
      </c>
      <c r="C3" t="str">
        <f>_xlfn.XLOOKUP(A3, employeemaster[Emp ID], employeemaster[Department])</f>
        <v>Operations</v>
      </c>
      <c r="D3">
        <v>2</v>
      </c>
      <c r="E3">
        <v>1</v>
      </c>
      <c r="F3">
        <v>1</v>
      </c>
      <c r="G3">
        <v>0</v>
      </c>
      <c r="H3">
        <v>0</v>
      </c>
      <c r="I3">
        <f>SUM(Table2[[#This Row],[Casual Leaves Taken]:[Unexcused Absences]])</f>
        <v>1</v>
      </c>
      <c r="J3">
        <f>MAX(0,Table2[[#This Row],[Casual Leaves Taken]]-Table2[[#This Row],[Monthly Casual Allowed]])</f>
        <v>0</v>
      </c>
      <c r="K3">
        <f>MAX(0,Table2[[#This Row],[Sick Leaves Taken]]-Table2[[#This Row],[Monthly Sick Allowed]])</f>
        <v>0</v>
      </c>
      <c r="L3">
        <f>SUM(Table2[[#This Row],[Unexcused Absences]]+Table2[[#This Row],[CASUAL LOP]]+Table2[[#This Row],[SICK LOP]])</f>
        <v>0</v>
      </c>
      <c r="M3">
        <f>SUM(Table2[[#This Row],[Monthly Casual Allowed]:[Monthly Sick Allowed]])-SUM(Table2[[#This Row],[Casual Leaves Taken]:[Sick Leaves Taken]])</f>
        <v>2</v>
      </c>
    </row>
    <row r="4" spans="1:13" x14ac:dyDescent="0.3">
      <c r="A4" t="s">
        <v>13</v>
      </c>
      <c r="B4" t="str">
        <f>_xlfn.XLOOKUP(A4, employeemaster[Emp ID], employeemaster[Name])</f>
        <v>Rohan Mehta</v>
      </c>
      <c r="C4" t="str">
        <f>_xlfn.XLOOKUP(A4, employeemaster[Emp ID], employeemaster[Department])</f>
        <v>Marketing</v>
      </c>
      <c r="D4">
        <v>2</v>
      </c>
      <c r="E4">
        <v>1</v>
      </c>
      <c r="F4">
        <v>2</v>
      </c>
      <c r="G4">
        <v>1</v>
      </c>
      <c r="H4">
        <v>0</v>
      </c>
      <c r="I4">
        <f>SUM(Table2[[#This Row],[Casual Leaves Taken]:[Unexcused Absences]])</f>
        <v>3</v>
      </c>
      <c r="J4">
        <f>MAX(0,Table2[[#This Row],[Casual Leaves Taken]]-Table2[[#This Row],[Monthly Casual Allowed]])</f>
        <v>0</v>
      </c>
      <c r="K4">
        <f>MAX(0,Table2[[#This Row],[Sick Leaves Taken]]-Table2[[#This Row],[Monthly Sick Allowed]])</f>
        <v>0</v>
      </c>
      <c r="L4">
        <f>SUM(Table2[[#This Row],[Unexcused Absences]]+Table2[[#This Row],[CASUAL LOP]]+Table2[[#This Row],[SICK LOP]])</f>
        <v>0</v>
      </c>
      <c r="M4">
        <f>SUM(Table2[[#This Row],[Monthly Casual Allowed]:[Monthly Sick Allowed]])-SUM(Table2[[#This Row],[Casual Leaves Taken]:[Sick Leaves Taken]])</f>
        <v>0</v>
      </c>
    </row>
    <row r="5" spans="1:13" x14ac:dyDescent="0.3">
      <c r="A5" t="s">
        <v>24</v>
      </c>
      <c r="B5" t="str">
        <f>_xlfn.XLOOKUP(A5, employeemaster[Emp ID], employeemaster[Name])</f>
        <v>Priya Nair</v>
      </c>
      <c r="C5" t="str">
        <f>_xlfn.XLOOKUP(A5, employeemaster[Emp ID], employeemaster[Department])</f>
        <v>Operations</v>
      </c>
      <c r="D5">
        <v>2</v>
      </c>
      <c r="E5">
        <v>1</v>
      </c>
      <c r="F5">
        <v>4</v>
      </c>
      <c r="G5">
        <v>2</v>
      </c>
      <c r="H5">
        <v>1</v>
      </c>
      <c r="I5">
        <f>SUM(Table2[[#This Row],[Casual Leaves Taken]:[Unexcused Absences]])</f>
        <v>7</v>
      </c>
      <c r="J5">
        <f>MAX(0,Table2[[#This Row],[Casual Leaves Taken]]-Table2[[#This Row],[Monthly Casual Allowed]])</f>
        <v>2</v>
      </c>
      <c r="K5">
        <f>MAX(0,Table2[[#This Row],[Sick Leaves Taken]]-Table2[[#This Row],[Monthly Sick Allowed]])</f>
        <v>1</v>
      </c>
      <c r="L5">
        <f>SUM(Table2[[#This Row],[Unexcused Absences]]+Table2[[#This Row],[CASUAL LOP]]+Table2[[#This Row],[SICK LOP]])</f>
        <v>4</v>
      </c>
      <c r="M5">
        <f>SUM(Table2[[#This Row],[Monthly Casual Allowed]:[Monthly Sick Allowed]])-SUM(Table2[[#This Row],[Casual Leaves Taken]:[Sick Leaves Taken]])</f>
        <v>-3</v>
      </c>
    </row>
    <row r="6" spans="1:13" x14ac:dyDescent="0.3">
      <c r="A6" t="s">
        <v>28</v>
      </c>
      <c r="B6" t="str">
        <f>_xlfn.XLOOKUP(A6, employeemaster[Emp ID], employeemaster[Name])</f>
        <v>Vikram Singh</v>
      </c>
      <c r="C6" t="str">
        <f>_xlfn.XLOOKUP(A6, employeemaster[Emp ID], employeemaster[Department])</f>
        <v>Operations</v>
      </c>
      <c r="D6">
        <v>2</v>
      </c>
      <c r="E6">
        <v>1</v>
      </c>
      <c r="F6">
        <v>0</v>
      </c>
      <c r="G6">
        <v>0</v>
      </c>
      <c r="H6">
        <v>0</v>
      </c>
      <c r="I6">
        <f>SUM(Table2[[#This Row],[Casual Leaves Taken]:[Unexcused Absences]])</f>
        <v>0</v>
      </c>
      <c r="J6">
        <f>MAX(0,Table2[[#This Row],[Casual Leaves Taken]]-Table2[[#This Row],[Monthly Casual Allowed]])</f>
        <v>0</v>
      </c>
      <c r="K6">
        <f>MAX(0,Table2[[#This Row],[Sick Leaves Taken]]-Table2[[#This Row],[Monthly Sick Allowed]])</f>
        <v>0</v>
      </c>
      <c r="L6">
        <f>SUM(Table2[[#This Row],[Unexcused Absences]]+Table2[[#This Row],[CASUAL LOP]]+Table2[[#This Row],[SICK LOP]])</f>
        <v>0</v>
      </c>
      <c r="M6">
        <f>SUM(Table2[[#This Row],[Monthly Casual Allowed]:[Monthly Sick Allowed]])-SUM(Table2[[#This Row],[Casual Leaves Taken]:[Sick Leaves Taken]])</f>
        <v>3</v>
      </c>
    </row>
    <row r="7" spans="1:13" x14ac:dyDescent="0.3">
      <c r="A7" t="s">
        <v>30</v>
      </c>
      <c r="B7" t="str">
        <f>_xlfn.XLOOKUP(A7, employeemaster[Emp ID], employeemaster[Name])</f>
        <v>Neha Gupta</v>
      </c>
      <c r="C7" t="str">
        <f>_xlfn.XLOOKUP(A7, employeemaster[Emp ID], employeemaster[Department])</f>
        <v>Sales</v>
      </c>
      <c r="D7">
        <v>2</v>
      </c>
      <c r="E7">
        <v>1</v>
      </c>
      <c r="F7">
        <v>2</v>
      </c>
      <c r="G7">
        <v>0</v>
      </c>
      <c r="H7">
        <v>0</v>
      </c>
      <c r="I7">
        <f>SUM(Table2[[#This Row],[Casual Leaves Taken]:[Unexcused Absences]])</f>
        <v>2</v>
      </c>
      <c r="J7">
        <f>MAX(0,Table2[[#This Row],[Casual Leaves Taken]]-Table2[[#This Row],[Monthly Casual Allowed]])</f>
        <v>0</v>
      </c>
      <c r="K7">
        <f>MAX(0,Table2[[#This Row],[Sick Leaves Taken]]-Table2[[#This Row],[Monthly Sick Allowed]])</f>
        <v>0</v>
      </c>
      <c r="L7">
        <f>SUM(Table2[[#This Row],[Unexcused Absences]]+Table2[[#This Row],[CASUAL LOP]]+Table2[[#This Row],[SICK LOP]])</f>
        <v>0</v>
      </c>
      <c r="M7">
        <f>SUM(Table2[[#This Row],[Monthly Casual Allowed]:[Monthly Sick Allowed]])-SUM(Table2[[#This Row],[Casual Leaves Taken]:[Sick Leaves Taken]])</f>
        <v>1</v>
      </c>
    </row>
    <row r="8" spans="1:13" x14ac:dyDescent="0.3">
      <c r="A8" t="s">
        <v>27</v>
      </c>
      <c r="B8" t="str">
        <f>_xlfn.XLOOKUP(A8, employeemaster[Emp ID], employeemaster[Name])</f>
        <v>Siddharth Rao</v>
      </c>
      <c r="C8" t="str">
        <f>_xlfn.XLOOKUP(A8, employeemaster[Emp ID], employeemaster[Department])</f>
        <v>Engineering</v>
      </c>
      <c r="D8">
        <v>2</v>
      </c>
      <c r="E8">
        <v>1</v>
      </c>
      <c r="F8">
        <v>1</v>
      </c>
      <c r="G8">
        <v>1</v>
      </c>
      <c r="H8">
        <v>0</v>
      </c>
      <c r="I8">
        <f>SUM(Table2[[#This Row],[Casual Leaves Taken]:[Unexcused Absences]])</f>
        <v>2</v>
      </c>
      <c r="J8">
        <f>MAX(0,Table2[[#This Row],[Casual Leaves Taken]]-Table2[[#This Row],[Monthly Casual Allowed]])</f>
        <v>0</v>
      </c>
      <c r="K8">
        <f>MAX(0,Table2[[#This Row],[Sick Leaves Taken]]-Table2[[#This Row],[Monthly Sick Allowed]])</f>
        <v>0</v>
      </c>
      <c r="L8">
        <f>SUM(Table2[[#This Row],[Unexcused Absences]]+Table2[[#This Row],[CASUAL LOP]]+Table2[[#This Row],[SICK LOP]])</f>
        <v>0</v>
      </c>
      <c r="M8">
        <f>SUM(Table2[[#This Row],[Monthly Casual Allowed]:[Monthly Sick Allowed]])-SUM(Table2[[#This Row],[Casual Leaves Taken]:[Sick Leaves Taken]])</f>
        <v>1</v>
      </c>
    </row>
    <row r="9" spans="1:13" x14ac:dyDescent="0.3">
      <c r="A9" t="s">
        <v>37</v>
      </c>
      <c r="B9" t="str">
        <f>_xlfn.XLOOKUP(A9, employeemaster[Emp ID], employeemaster[Name])</f>
        <v>Kavya Joshi</v>
      </c>
      <c r="C9" t="str">
        <f>_xlfn.XLOOKUP(A9, employeemaster[Emp ID], employeemaster[Department])</f>
        <v>Engineering</v>
      </c>
      <c r="D9">
        <v>2</v>
      </c>
      <c r="E9">
        <v>1</v>
      </c>
      <c r="F9">
        <v>3</v>
      </c>
      <c r="G9">
        <v>0</v>
      </c>
      <c r="H9">
        <v>0</v>
      </c>
      <c r="I9">
        <f>SUM(Table2[[#This Row],[Casual Leaves Taken]:[Unexcused Absences]])</f>
        <v>3</v>
      </c>
      <c r="J9">
        <f>MAX(0,Table2[[#This Row],[Casual Leaves Taken]]-Table2[[#This Row],[Monthly Casual Allowed]])</f>
        <v>1</v>
      </c>
      <c r="K9">
        <f>MAX(0,Table2[[#This Row],[Sick Leaves Taken]]-Table2[[#This Row],[Monthly Sick Allowed]])</f>
        <v>0</v>
      </c>
      <c r="L9">
        <f>SUM(Table2[[#This Row],[Unexcused Absences]]+Table2[[#This Row],[CASUAL LOP]]+Table2[[#This Row],[SICK LOP]])</f>
        <v>1</v>
      </c>
      <c r="M9">
        <f>SUM(Table2[[#This Row],[Monthly Casual Allowed]:[Monthly Sick Allowed]])-SUM(Table2[[#This Row],[Casual Leaves Taken]:[Sick Leaves Taken]])</f>
        <v>0</v>
      </c>
    </row>
    <row r="10" spans="1:13" x14ac:dyDescent="0.3">
      <c r="A10" t="s">
        <v>40</v>
      </c>
      <c r="B10" t="str">
        <f>_xlfn.XLOOKUP(A10, employeemaster[Emp ID], employeemaster[Name])</f>
        <v>Aditya Patel</v>
      </c>
      <c r="C10" t="str">
        <f>_xlfn.XLOOKUP(A10, employeemaster[Emp ID], employeemaster[Department])</f>
        <v>Operations</v>
      </c>
      <c r="D10">
        <v>2</v>
      </c>
      <c r="E10">
        <v>1</v>
      </c>
      <c r="F10">
        <v>0</v>
      </c>
      <c r="G10">
        <v>1</v>
      </c>
      <c r="H10">
        <v>0</v>
      </c>
      <c r="I10">
        <f>SUM(Table2[[#This Row],[Casual Leaves Taken]:[Unexcused Absences]])</f>
        <v>1</v>
      </c>
      <c r="J10">
        <f>MAX(0,Table2[[#This Row],[Casual Leaves Taken]]-Table2[[#This Row],[Monthly Casual Allowed]])</f>
        <v>0</v>
      </c>
      <c r="K10">
        <f>MAX(0,Table2[[#This Row],[Sick Leaves Taken]]-Table2[[#This Row],[Monthly Sick Allowed]])</f>
        <v>0</v>
      </c>
      <c r="L10">
        <f>SUM(Table2[[#This Row],[Unexcused Absences]]+Table2[[#This Row],[CASUAL LOP]]+Table2[[#This Row],[SICK LOP]])</f>
        <v>0</v>
      </c>
      <c r="M10">
        <f>SUM(Table2[[#This Row],[Monthly Casual Allowed]:[Monthly Sick Allowed]])-SUM(Table2[[#This Row],[Casual Leaves Taken]:[Sick Leaves Taken]])</f>
        <v>2</v>
      </c>
    </row>
    <row r="11" spans="1:13" x14ac:dyDescent="0.3">
      <c r="A11" t="s">
        <v>42</v>
      </c>
      <c r="B11" t="str">
        <f>_xlfn.XLOOKUP(A11, employeemaster[Emp ID], employeemaster[Name])</f>
        <v>Pooja Kumar</v>
      </c>
      <c r="C11" t="str">
        <f>_xlfn.XLOOKUP(A11, employeemaster[Emp ID], employeemaster[Department])</f>
        <v>HR</v>
      </c>
      <c r="D11">
        <v>2</v>
      </c>
      <c r="E11">
        <v>1</v>
      </c>
      <c r="F11">
        <v>2</v>
      </c>
      <c r="G11">
        <v>2</v>
      </c>
      <c r="H11">
        <v>0</v>
      </c>
      <c r="I11">
        <f>SUM(Table2[[#This Row],[Casual Leaves Taken]:[Unexcused Absences]])</f>
        <v>4</v>
      </c>
      <c r="J11">
        <f>MAX(0,Table2[[#This Row],[Casual Leaves Taken]]-Table2[[#This Row],[Monthly Casual Allowed]])</f>
        <v>0</v>
      </c>
      <c r="K11">
        <f>MAX(0,Table2[[#This Row],[Sick Leaves Taken]]-Table2[[#This Row],[Monthly Sick Allowed]])</f>
        <v>1</v>
      </c>
      <c r="L11">
        <f>SUM(Table2[[#This Row],[Unexcused Absences]]+Table2[[#This Row],[CASUAL LOP]]+Table2[[#This Row],[SICK LOP]])</f>
        <v>1</v>
      </c>
      <c r="M11">
        <f>SUM(Table2[[#This Row],[Monthly Casual Allowed]:[Monthly Sick Allowed]])-SUM(Table2[[#This Row],[Casual Leaves Taken]:[Sick Leaves Taken]])</f>
        <v>-1</v>
      </c>
    </row>
    <row r="12" spans="1:13" x14ac:dyDescent="0.3">
      <c r="A12" t="s">
        <v>46</v>
      </c>
      <c r="B12" t="str">
        <f>_xlfn.XLOOKUP(A12, employeemaster[Emp ID], employeemaster[Name])</f>
        <v>Rahul Deshmukh</v>
      </c>
      <c r="C12" t="str">
        <f>_xlfn.XLOOKUP(A12, employeemaster[Emp ID], employeemaster[Department])</f>
        <v>Operations</v>
      </c>
      <c r="D12">
        <v>2</v>
      </c>
      <c r="E12">
        <v>1</v>
      </c>
      <c r="F12">
        <v>1</v>
      </c>
      <c r="G12">
        <v>0</v>
      </c>
      <c r="H12">
        <v>0</v>
      </c>
      <c r="I12">
        <f>SUM(Table2[[#This Row],[Casual Leaves Taken]:[Unexcused Absences]])</f>
        <v>1</v>
      </c>
      <c r="J12">
        <f>MAX(0,Table2[[#This Row],[Casual Leaves Taken]]-Table2[[#This Row],[Monthly Casual Allowed]])</f>
        <v>0</v>
      </c>
      <c r="K12">
        <f>MAX(0,Table2[[#This Row],[Sick Leaves Taken]]-Table2[[#This Row],[Monthly Sick Allowed]])</f>
        <v>0</v>
      </c>
      <c r="L12">
        <f>SUM(Table2[[#This Row],[Unexcused Absences]]+Table2[[#This Row],[CASUAL LOP]]+Table2[[#This Row],[SICK LOP]])</f>
        <v>0</v>
      </c>
      <c r="M12">
        <f>SUM(Table2[[#This Row],[Monthly Casual Allowed]:[Monthly Sick Allowed]])-SUM(Table2[[#This Row],[Casual Leaves Taken]:[Sick Leaves Taken]])</f>
        <v>2</v>
      </c>
    </row>
    <row r="13" spans="1:13" x14ac:dyDescent="0.3">
      <c r="A13" t="s">
        <v>48</v>
      </c>
      <c r="B13" t="str">
        <f>_xlfn.XLOOKUP(A13, employeemaster[Emp ID], employeemaster[Name])</f>
        <v>Sneha Reddy</v>
      </c>
      <c r="C13" t="str">
        <f>_xlfn.XLOOKUP(A13, employeemaster[Emp ID], employeemaster[Department])</f>
        <v>Engineering</v>
      </c>
      <c r="D13">
        <v>2</v>
      </c>
      <c r="E13">
        <v>1</v>
      </c>
      <c r="F13">
        <v>2</v>
      </c>
      <c r="G13">
        <v>1</v>
      </c>
      <c r="H13">
        <v>0</v>
      </c>
      <c r="I13">
        <f>SUM(Table2[[#This Row],[Casual Leaves Taken]:[Unexcused Absences]])</f>
        <v>3</v>
      </c>
      <c r="J13">
        <f>MAX(0,Table2[[#This Row],[Casual Leaves Taken]]-Table2[[#This Row],[Monthly Casual Allowed]])</f>
        <v>0</v>
      </c>
      <c r="K13">
        <f>MAX(0,Table2[[#This Row],[Sick Leaves Taken]]-Table2[[#This Row],[Monthly Sick Allowed]])</f>
        <v>0</v>
      </c>
      <c r="L13">
        <f>SUM(Table2[[#This Row],[Unexcused Absences]]+Table2[[#This Row],[CASUAL LOP]]+Table2[[#This Row],[SICK LOP]])</f>
        <v>0</v>
      </c>
      <c r="M13">
        <f>SUM(Table2[[#This Row],[Monthly Casual Allowed]:[Monthly Sick Allowed]])-SUM(Table2[[#This Row],[Casual Leaves Taken]:[Sick Leaves Taken]])</f>
        <v>0</v>
      </c>
    </row>
    <row r="14" spans="1:13" x14ac:dyDescent="0.3">
      <c r="A14" t="s">
        <v>51</v>
      </c>
      <c r="B14" t="str">
        <f>_xlfn.XLOOKUP(A14, employeemaster[Emp ID], employeemaster[Name])</f>
        <v>Amitav Sen</v>
      </c>
      <c r="C14" t="str">
        <f>_xlfn.XLOOKUP(A14, employeemaster[Emp ID], employeemaster[Department])</f>
        <v>Marketing</v>
      </c>
      <c r="D14">
        <v>2</v>
      </c>
      <c r="E14">
        <v>1</v>
      </c>
      <c r="F14">
        <v>4</v>
      </c>
      <c r="G14">
        <v>1</v>
      </c>
      <c r="H14">
        <v>2</v>
      </c>
      <c r="I14">
        <f>SUM(Table2[[#This Row],[Casual Leaves Taken]:[Unexcused Absences]])</f>
        <v>7</v>
      </c>
      <c r="J14">
        <f>MAX(0,Table2[[#This Row],[Casual Leaves Taken]]-Table2[[#This Row],[Monthly Casual Allowed]])</f>
        <v>2</v>
      </c>
      <c r="K14">
        <f>MAX(0,Table2[[#This Row],[Sick Leaves Taken]]-Table2[[#This Row],[Monthly Sick Allowed]])</f>
        <v>0</v>
      </c>
      <c r="L14">
        <f>SUM(Table2[[#This Row],[Unexcused Absences]]+Table2[[#This Row],[CASUAL LOP]]+Table2[[#This Row],[SICK LOP]])</f>
        <v>4</v>
      </c>
      <c r="M14">
        <f>SUM(Table2[[#This Row],[Monthly Casual Allowed]:[Monthly Sick Allowed]])-SUM(Table2[[#This Row],[Casual Leaves Taken]:[Sick Leaves Taken]])</f>
        <v>-2</v>
      </c>
    </row>
    <row r="15" spans="1:13" x14ac:dyDescent="0.3">
      <c r="A15" t="s">
        <v>54</v>
      </c>
      <c r="B15" t="str">
        <f>_xlfn.XLOOKUP(A15, employeemaster[Emp ID], employeemaster[Name])</f>
        <v>Divya Iyer</v>
      </c>
      <c r="C15" t="str">
        <f>_xlfn.XLOOKUP(A15, employeemaster[Emp ID], employeemaster[Department])</f>
        <v>Operations</v>
      </c>
      <c r="D15">
        <v>2</v>
      </c>
      <c r="E15">
        <v>1</v>
      </c>
      <c r="F15">
        <v>1</v>
      </c>
      <c r="G15">
        <v>0</v>
      </c>
      <c r="H15">
        <v>0</v>
      </c>
      <c r="I15">
        <f>SUM(Table2[[#This Row],[Casual Leaves Taken]:[Unexcused Absences]])</f>
        <v>1</v>
      </c>
      <c r="J15">
        <f>MAX(0,Table2[[#This Row],[Casual Leaves Taken]]-Table2[[#This Row],[Monthly Casual Allowed]])</f>
        <v>0</v>
      </c>
      <c r="K15">
        <f>MAX(0,Table2[[#This Row],[Sick Leaves Taken]]-Table2[[#This Row],[Monthly Sick Allowed]])</f>
        <v>0</v>
      </c>
      <c r="L15">
        <f>SUM(Table2[[#This Row],[Unexcused Absences]]+Table2[[#This Row],[CASUAL LOP]]+Table2[[#This Row],[SICK LOP]])</f>
        <v>0</v>
      </c>
      <c r="M15">
        <f>SUM(Table2[[#This Row],[Monthly Casual Allowed]:[Monthly Sick Allowed]])-SUM(Table2[[#This Row],[Casual Leaves Taken]:[Sick Leaves Taken]])</f>
        <v>2</v>
      </c>
    </row>
    <row r="16" spans="1:13" x14ac:dyDescent="0.3">
      <c r="A16" t="s">
        <v>57</v>
      </c>
      <c r="B16" t="str">
        <f>_xlfn.XLOOKUP(A16, employeemaster[Emp ID], employeemaster[Name])</f>
        <v>Karan Malhotra</v>
      </c>
      <c r="C16" t="str">
        <f>_xlfn.XLOOKUP(A16, employeemaster[Emp ID], employeemaster[Department])</f>
        <v>Engineering</v>
      </c>
      <c r="D16">
        <v>2</v>
      </c>
      <c r="E16">
        <v>1</v>
      </c>
      <c r="F16">
        <v>2</v>
      </c>
      <c r="G16">
        <v>0</v>
      </c>
      <c r="H16">
        <v>0</v>
      </c>
      <c r="I16">
        <f>SUM(Table2[[#This Row],[Casual Leaves Taken]:[Unexcused Absences]])</f>
        <v>2</v>
      </c>
      <c r="J16">
        <f>MAX(0,Table2[[#This Row],[Casual Leaves Taken]]-Table2[[#This Row],[Monthly Casual Allowed]])</f>
        <v>0</v>
      </c>
      <c r="K16">
        <f>MAX(0,Table2[[#This Row],[Sick Leaves Taken]]-Table2[[#This Row],[Monthly Sick Allowed]])</f>
        <v>0</v>
      </c>
      <c r="L16">
        <f>SUM(Table2[[#This Row],[Unexcused Absences]]+Table2[[#This Row],[CASUAL LOP]]+Table2[[#This Row],[SICK LOP]])</f>
        <v>0</v>
      </c>
      <c r="M16">
        <f>SUM(Table2[[#This Row],[Monthly Casual Allowed]:[Monthly Sick Allowed]])-SUM(Table2[[#This Row],[Casual Leaves Taken]:[Sick Leaves Taken]])</f>
        <v>1</v>
      </c>
    </row>
    <row r="17" spans="1:13" x14ac:dyDescent="0.3">
      <c r="A17" t="s">
        <v>59</v>
      </c>
      <c r="B17" t="str">
        <f>_xlfn.XLOOKUP(A17, employeemaster[Emp ID], employeemaster[Name])</f>
        <v>Meera Pillai</v>
      </c>
      <c r="C17" t="str">
        <f>_xlfn.XLOOKUP(A17, employeemaster[Emp ID], employeemaster[Department])</f>
        <v>Sales</v>
      </c>
      <c r="D17">
        <v>2</v>
      </c>
      <c r="E17">
        <v>1</v>
      </c>
      <c r="F17">
        <v>0</v>
      </c>
      <c r="G17">
        <v>0</v>
      </c>
      <c r="H17">
        <v>0</v>
      </c>
      <c r="I17">
        <f>SUM(Table2[[#This Row],[Casual Leaves Taken]:[Unexcused Absences]])</f>
        <v>0</v>
      </c>
      <c r="J17">
        <f>MAX(0,Table2[[#This Row],[Casual Leaves Taken]]-Table2[[#This Row],[Monthly Casual Allowed]])</f>
        <v>0</v>
      </c>
      <c r="K17">
        <f>MAX(0,Table2[[#This Row],[Sick Leaves Taken]]-Table2[[#This Row],[Monthly Sick Allowed]])</f>
        <v>0</v>
      </c>
      <c r="L17">
        <f>SUM(Table2[[#This Row],[Unexcused Absences]]+Table2[[#This Row],[CASUAL LOP]]+Table2[[#This Row],[SICK LOP]])</f>
        <v>0</v>
      </c>
      <c r="M17">
        <f>SUM(Table2[[#This Row],[Monthly Casual Allowed]:[Monthly Sick Allowed]])-SUM(Table2[[#This Row],[Casual Leaves Taken]:[Sick Leaves Taken]])</f>
        <v>3</v>
      </c>
    </row>
    <row r="18" spans="1:13" x14ac:dyDescent="0.3">
      <c r="A18" t="s">
        <v>62</v>
      </c>
      <c r="B18" t="str">
        <f>_xlfn.XLOOKUP(A18, employeemaster[Emp ID], employeemaster[Name])</f>
        <v>Sanjay Bhat</v>
      </c>
      <c r="C18" t="str">
        <f>_xlfn.XLOOKUP(A18, employeemaster[Emp ID], employeemaster[Department])</f>
        <v>Operations</v>
      </c>
      <c r="D18">
        <v>2</v>
      </c>
      <c r="E18">
        <v>1</v>
      </c>
      <c r="F18">
        <v>3</v>
      </c>
      <c r="G18">
        <v>1</v>
      </c>
      <c r="H18">
        <v>0</v>
      </c>
      <c r="I18">
        <f>SUM(Table2[[#This Row],[Casual Leaves Taken]:[Unexcused Absences]])</f>
        <v>4</v>
      </c>
      <c r="J18">
        <f>MAX(0,Table2[[#This Row],[Casual Leaves Taken]]-Table2[[#This Row],[Monthly Casual Allowed]])</f>
        <v>1</v>
      </c>
      <c r="K18">
        <f>MAX(0,Table2[[#This Row],[Sick Leaves Taken]]-Table2[[#This Row],[Monthly Sick Allowed]])</f>
        <v>0</v>
      </c>
      <c r="L18">
        <f>SUM(Table2[[#This Row],[Unexcused Absences]]+Table2[[#This Row],[CASUAL LOP]]+Table2[[#This Row],[SICK LOP]])</f>
        <v>1</v>
      </c>
      <c r="M18">
        <f>SUM(Table2[[#This Row],[Monthly Casual Allowed]:[Monthly Sick Allowed]])-SUM(Table2[[#This Row],[Casual Leaves Taken]:[Sick Leaves Taken]])</f>
        <v>-1</v>
      </c>
    </row>
    <row r="19" spans="1:13" x14ac:dyDescent="0.3">
      <c r="A19" t="s">
        <v>64</v>
      </c>
      <c r="B19" t="str">
        <f>_xlfn.XLOOKUP(A19, employeemaster[Emp ID], employeemaster[Name])</f>
        <v>Ishita Choudhury</v>
      </c>
      <c r="C19" t="str">
        <f>_xlfn.XLOOKUP(A19, employeemaster[Emp ID], employeemaster[Department])</f>
        <v>Operations</v>
      </c>
      <c r="D19">
        <v>2</v>
      </c>
      <c r="E19">
        <v>1</v>
      </c>
      <c r="F19">
        <v>1</v>
      </c>
      <c r="G19">
        <v>1</v>
      </c>
      <c r="H19">
        <v>0</v>
      </c>
      <c r="I19">
        <f>SUM(Table2[[#This Row],[Casual Leaves Taken]:[Unexcused Absences]])</f>
        <v>2</v>
      </c>
      <c r="J19">
        <f>MAX(0,Table2[[#This Row],[Casual Leaves Taken]]-Table2[[#This Row],[Monthly Casual Allowed]])</f>
        <v>0</v>
      </c>
      <c r="K19">
        <f>MAX(0,Table2[[#This Row],[Sick Leaves Taken]]-Table2[[#This Row],[Monthly Sick Allowed]])</f>
        <v>0</v>
      </c>
      <c r="L19">
        <f>SUM(Table2[[#This Row],[Unexcused Absences]]+Table2[[#This Row],[CASUAL LOP]]+Table2[[#This Row],[SICK LOP]])</f>
        <v>0</v>
      </c>
      <c r="M19">
        <f>SUM(Table2[[#This Row],[Monthly Casual Allowed]:[Monthly Sick Allowed]])-SUM(Table2[[#This Row],[Casual Leaves Taken]:[Sick Leaves Taken]])</f>
        <v>1</v>
      </c>
    </row>
    <row r="20" spans="1:13" x14ac:dyDescent="0.3">
      <c r="A20" t="s">
        <v>66</v>
      </c>
      <c r="B20" t="str">
        <f>_xlfn.XLOOKUP(A20, employeemaster[Emp ID], employeemaster[Name])</f>
        <v>Nikhil Saxena</v>
      </c>
      <c r="C20" t="str">
        <f>_xlfn.XLOOKUP(A20, employeemaster[Emp ID], employeemaster[Department])</f>
        <v>HR</v>
      </c>
      <c r="D20">
        <v>2</v>
      </c>
      <c r="E20">
        <v>1</v>
      </c>
      <c r="F20">
        <v>2</v>
      </c>
      <c r="G20">
        <v>0</v>
      </c>
      <c r="H20">
        <v>0</v>
      </c>
      <c r="I20">
        <f>SUM(Table2[[#This Row],[Casual Leaves Taken]:[Unexcused Absences]])</f>
        <v>2</v>
      </c>
      <c r="J20">
        <f>MAX(0,Table2[[#This Row],[Casual Leaves Taken]]-Table2[[#This Row],[Monthly Casual Allowed]])</f>
        <v>0</v>
      </c>
      <c r="K20">
        <f>MAX(0,Table2[[#This Row],[Sick Leaves Taken]]-Table2[[#This Row],[Monthly Sick Allowed]])</f>
        <v>0</v>
      </c>
      <c r="L20">
        <f>SUM(Table2[[#This Row],[Unexcused Absences]]+Table2[[#This Row],[CASUAL LOP]]+Table2[[#This Row],[SICK LOP]])</f>
        <v>0</v>
      </c>
      <c r="M20">
        <f>SUM(Table2[[#This Row],[Monthly Casual Allowed]:[Monthly Sick Allowed]])-SUM(Table2[[#This Row],[Casual Leaves Taken]:[Sick Leaves Taken]])</f>
        <v>1</v>
      </c>
    </row>
    <row r="21" spans="1:13" x14ac:dyDescent="0.3">
      <c r="A21" t="s">
        <v>68</v>
      </c>
      <c r="B21" t="str">
        <f>_xlfn.XLOOKUP(A21, employeemaster[Emp ID], employeemaster[Name])</f>
        <v>Tanvi Agarwal</v>
      </c>
      <c r="C21" t="str">
        <f>_xlfn.XLOOKUP(A21, employeemaster[Emp ID], employeemaster[Department])</f>
        <v>Marketing</v>
      </c>
      <c r="D21">
        <v>2</v>
      </c>
      <c r="E21">
        <v>1</v>
      </c>
      <c r="F21">
        <v>1</v>
      </c>
      <c r="G21">
        <v>0</v>
      </c>
      <c r="H21">
        <v>0</v>
      </c>
      <c r="I21">
        <f>SUM(Table2[[#This Row],[Casual Leaves Taken]:[Unexcused Absences]])</f>
        <v>1</v>
      </c>
      <c r="J21">
        <f>MAX(0,Table2[[#This Row],[Casual Leaves Taken]]-Table2[[#This Row],[Monthly Casual Allowed]])</f>
        <v>0</v>
      </c>
      <c r="K21">
        <f>MAX(0,Table2[[#This Row],[Sick Leaves Taken]]-Table2[[#This Row],[Monthly Sick Allowed]])</f>
        <v>0</v>
      </c>
      <c r="L21">
        <f>SUM(Table2[[#This Row],[Unexcused Absences]]+Table2[[#This Row],[CASUAL LOP]]+Table2[[#This Row],[SICK LOP]])</f>
        <v>0</v>
      </c>
      <c r="M21">
        <f>SUM(Table2[[#This Row],[Monthly Casual Allowed]:[Monthly Sick Allowed]])-SUM(Table2[[#This Row],[Casual Leaves Taken]:[Sick Leaves Taken]])</f>
        <v>2</v>
      </c>
    </row>
    <row r="22" spans="1:13" x14ac:dyDescent="0.3">
      <c r="A22" t="s">
        <v>70</v>
      </c>
      <c r="B22" t="str">
        <f>_xlfn.XLOOKUP(A22, employeemaster[Emp ID], employeemaster[Name])</f>
        <v>Varun Mishra</v>
      </c>
      <c r="C22" t="str">
        <f>_xlfn.XLOOKUP(A22, employeemaster[Emp ID], employeemaster[Department])</f>
        <v>Engineering</v>
      </c>
      <c r="D22">
        <v>2</v>
      </c>
      <c r="E22">
        <v>1</v>
      </c>
      <c r="F22">
        <v>0</v>
      </c>
      <c r="G22">
        <v>0</v>
      </c>
      <c r="H22">
        <v>0</v>
      </c>
      <c r="I22">
        <f>SUM(Table2[[#This Row],[Casual Leaves Taken]:[Unexcused Absences]])</f>
        <v>0</v>
      </c>
      <c r="J22">
        <f>MAX(0,Table2[[#This Row],[Casual Leaves Taken]]-Table2[[#This Row],[Monthly Casual Allowed]])</f>
        <v>0</v>
      </c>
      <c r="K22">
        <f>MAX(0,Table2[[#This Row],[Sick Leaves Taken]]-Table2[[#This Row],[Monthly Sick Allowed]])</f>
        <v>0</v>
      </c>
      <c r="L22">
        <f>SUM(Table2[[#This Row],[Unexcused Absences]]+Table2[[#This Row],[CASUAL LOP]]+Table2[[#This Row],[SICK LOP]])</f>
        <v>0</v>
      </c>
      <c r="M22">
        <f>SUM(Table2[[#This Row],[Monthly Casual Allowed]:[Monthly Sick Allowed]])-SUM(Table2[[#This Row],[Casual Leaves Taken]:[Sick Leaves Taken]])</f>
        <v>3</v>
      </c>
    </row>
    <row r="23" spans="1:13" x14ac:dyDescent="0.3">
      <c r="A23" t="s">
        <v>73</v>
      </c>
      <c r="B23" t="str">
        <f>_xlfn.XLOOKUP(A23, employeemaster[Emp ID], employeemaster[Name])</f>
        <v>Ritu Das</v>
      </c>
      <c r="C23" t="str">
        <f>_xlfn.XLOOKUP(A23, employeemaster[Emp ID], employeemaster[Department])</f>
        <v>Engineering</v>
      </c>
      <c r="D23">
        <v>2</v>
      </c>
      <c r="E23">
        <v>1</v>
      </c>
      <c r="F23">
        <v>1</v>
      </c>
      <c r="G23">
        <v>0</v>
      </c>
      <c r="H23">
        <v>0</v>
      </c>
      <c r="I23">
        <f>SUM(Table2[[#This Row],[Casual Leaves Taken]:[Unexcused Absences]])</f>
        <v>1</v>
      </c>
      <c r="J23">
        <f>MAX(0,Table2[[#This Row],[Casual Leaves Taken]]-Table2[[#This Row],[Monthly Casual Allowed]])</f>
        <v>0</v>
      </c>
      <c r="K23">
        <f>MAX(0,Table2[[#This Row],[Sick Leaves Taken]]-Table2[[#This Row],[Monthly Sick Allowed]])</f>
        <v>0</v>
      </c>
      <c r="L23">
        <f>SUM(Table2[[#This Row],[Unexcused Absences]]+Table2[[#This Row],[CASUAL LOP]]+Table2[[#This Row],[SICK LOP]])</f>
        <v>0</v>
      </c>
      <c r="M23">
        <f>SUM(Table2[[#This Row],[Monthly Casual Allowed]:[Monthly Sick Allowed]])-SUM(Table2[[#This Row],[Casual Leaves Taken]:[Sick Leaves Taken]])</f>
        <v>2</v>
      </c>
    </row>
    <row r="24" spans="1:13" x14ac:dyDescent="0.3">
      <c r="A24" t="s">
        <v>75</v>
      </c>
      <c r="B24" t="str">
        <f>_xlfn.XLOOKUP(A24, employeemaster[Emp ID], employeemaster[Name])</f>
        <v>Manish Kapoor</v>
      </c>
      <c r="C24" t="str">
        <f>_xlfn.XLOOKUP(A24, employeemaster[Emp ID], employeemaster[Department])</f>
        <v>Marketing</v>
      </c>
      <c r="D24">
        <v>2</v>
      </c>
      <c r="E24">
        <v>1</v>
      </c>
      <c r="F24">
        <v>2</v>
      </c>
      <c r="G24">
        <v>1</v>
      </c>
      <c r="H24">
        <v>0</v>
      </c>
      <c r="I24">
        <f>SUM(Table2[[#This Row],[Casual Leaves Taken]:[Unexcused Absences]])</f>
        <v>3</v>
      </c>
      <c r="J24">
        <f>MAX(0,Table2[[#This Row],[Casual Leaves Taken]]-Table2[[#This Row],[Monthly Casual Allowed]])</f>
        <v>0</v>
      </c>
      <c r="K24">
        <f>MAX(0,Table2[[#This Row],[Sick Leaves Taken]]-Table2[[#This Row],[Monthly Sick Allowed]])</f>
        <v>0</v>
      </c>
      <c r="L24">
        <f>SUM(Table2[[#This Row],[Unexcused Absences]]+Table2[[#This Row],[CASUAL LOP]]+Table2[[#This Row],[SICK LOP]])</f>
        <v>0</v>
      </c>
      <c r="M24">
        <f>SUM(Table2[[#This Row],[Monthly Casual Allowed]:[Monthly Sick Allowed]])-SUM(Table2[[#This Row],[Casual Leaves Taken]:[Sick Leaves Taken]])</f>
        <v>0</v>
      </c>
    </row>
    <row r="25" spans="1:13" x14ac:dyDescent="0.3">
      <c r="A25" t="s">
        <v>77</v>
      </c>
      <c r="B25" t="str">
        <f>_xlfn.XLOOKUP(A25, employeemaster[Emp ID], employeemaster[Name])</f>
        <v>Swati Kulkarni</v>
      </c>
      <c r="C25" t="str">
        <f>_xlfn.XLOOKUP(A25, employeemaster[Emp ID], employeemaster[Department])</f>
        <v>HR</v>
      </c>
      <c r="D25">
        <v>2</v>
      </c>
      <c r="E25">
        <v>1</v>
      </c>
      <c r="F25">
        <v>0</v>
      </c>
      <c r="G25">
        <v>0</v>
      </c>
      <c r="H25">
        <v>0</v>
      </c>
      <c r="I25">
        <f>SUM(Table2[[#This Row],[Casual Leaves Taken]:[Unexcused Absences]])</f>
        <v>0</v>
      </c>
      <c r="J25">
        <f>MAX(0,Table2[[#This Row],[Casual Leaves Taken]]-Table2[[#This Row],[Monthly Casual Allowed]])</f>
        <v>0</v>
      </c>
      <c r="K25">
        <f>MAX(0,Table2[[#This Row],[Sick Leaves Taken]]-Table2[[#This Row],[Monthly Sick Allowed]])</f>
        <v>0</v>
      </c>
      <c r="L25">
        <f>SUM(Table2[[#This Row],[Unexcused Absences]]+Table2[[#This Row],[CASUAL LOP]]+Table2[[#This Row],[SICK LOP]])</f>
        <v>0</v>
      </c>
      <c r="M25">
        <f>SUM(Table2[[#This Row],[Monthly Casual Allowed]:[Monthly Sick Allowed]])-SUM(Table2[[#This Row],[Casual Leaves Taken]:[Sick Leaves Taken]])</f>
        <v>3</v>
      </c>
    </row>
    <row r="26" spans="1:13" x14ac:dyDescent="0.3">
      <c r="A26" t="s">
        <v>80</v>
      </c>
      <c r="B26" t="str">
        <f>_xlfn.XLOOKUP(A26, employeemaster[Emp ID], employeemaster[Name])</f>
        <v>Tarun Hegde</v>
      </c>
      <c r="C26" t="str">
        <f>_xlfn.XLOOKUP(A26, employeemaster[Emp ID], employeemaster[Department])</f>
        <v>HR</v>
      </c>
      <c r="D26">
        <v>2</v>
      </c>
      <c r="E26">
        <v>1</v>
      </c>
      <c r="F26">
        <v>1</v>
      </c>
      <c r="G26">
        <v>1</v>
      </c>
      <c r="H26">
        <v>0</v>
      </c>
      <c r="I26">
        <f>SUM(Table2[[#This Row],[Casual Leaves Taken]:[Unexcused Absences]])</f>
        <v>2</v>
      </c>
      <c r="J26">
        <f>MAX(0,Table2[[#This Row],[Casual Leaves Taken]]-Table2[[#This Row],[Monthly Casual Allowed]])</f>
        <v>0</v>
      </c>
      <c r="K26">
        <f>MAX(0,Table2[[#This Row],[Sick Leaves Taken]]-Table2[[#This Row],[Monthly Sick Allowed]])</f>
        <v>0</v>
      </c>
      <c r="L26">
        <f>SUM(Table2[[#This Row],[Unexcused Absences]]+Table2[[#This Row],[CASUAL LOP]]+Table2[[#This Row],[SICK LOP]])</f>
        <v>0</v>
      </c>
      <c r="M26">
        <f>SUM(Table2[[#This Row],[Monthly Casual Allowed]:[Monthly Sick Allowed]])-SUM(Table2[[#This Row],[Casual Leaves Taken]:[Sick Leaves Taken]])</f>
        <v>1</v>
      </c>
    </row>
  </sheetData>
  <conditionalFormatting sqref="L1:L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2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EmployeeMaster</vt:lpstr>
      <vt:lpstr>Leave_tracker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jhanavi ms</dc:creator>
  <cp:lastModifiedBy>jhanavi ms</cp:lastModifiedBy>
  <dcterms:created xsi:type="dcterms:W3CDTF">2026-07-28T17:00:17Z</dcterms:created>
  <dcterms:modified xsi:type="dcterms:W3CDTF">2026-09-01T06:20:17Z</dcterms:modified>
</cp:coreProperties>
</file>